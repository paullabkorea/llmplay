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ull\OneDrive\Desktop\skill 결과물\샘플_공개용\"/>
    </mc:Choice>
  </mc:AlternateContent>
  <xr:revisionPtr revIDLastSave="0" documentId="13_ncr:1_{4401CF2D-E36A-4E6A-81B2-50E135AD2658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35" i="1" s="1"/>
  <c r="J36" i="1" s="1"/>
  <c r="F9" i="1" s="1"/>
</calcChain>
</file>

<file path=xl/sharedStrings.xml><?xml version="1.0" encoding="utf-8"?>
<sst xmlns="http://schemas.openxmlformats.org/spreadsheetml/2006/main" count="104" uniqueCount="89">
  <si>
    <t>견적서</t>
  </si>
  <si>
    <t>수신자</t>
  </si>
  <si>
    <t>발신자</t>
  </si>
  <si>
    <t>○○특별자치도청
AI디지털정책과</t>
  </si>
  <si>
    <t>㈜위니브</t>
  </si>
  <si>
    <t>대표 이호준 (인)</t>
  </si>
  <si>
    <t>사업자 등록번호 000-00-00000</t>
  </si>
  <si>
    <t>제주 AX 대전환 인재양성(가칭)</t>
  </si>
  <si>
    <t>제주시 ○○로 00, 0층</t>
  </si>
  <si>
    <t>○○○ 주무관 / 000-0000-0000</t>
  </si>
  <si>
    <t>이호준 / 000-0000-0000</t>
  </si>
  <si>
    <t>견적 정보</t>
  </si>
  <si>
    <t>견적금액</t>
  </si>
  <si>
    <t xml:space="preserve">  견적 작성일: 2026. 8. 16.(일)</t>
  </si>
  <si>
    <t>(VAT 포함)</t>
  </si>
  <si>
    <t xml:space="preserve">  유효기간 (견적일로부터 30일)</t>
  </si>
  <si>
    <t>구분</t>
  </si>
  <si>
    <t>내역</t>
  </si>
  <si>
    <t>상세내역</t>
  </si>
  <si>
    <t>규격</t>
  </si>
  <si>
    <t>수량</t>
  </si>
  <si>
    <t>횟수</t>
  </si>
  <si>
    <t>단가</t>
  </si>
  <si>
    <t>금액</t>
  </si>
  <si>
    <t>비고</t>
  </si>
  <si>
    <t>인건비</t>
  </si>
  <si>
    <t>운영총괄</t>
  </si>
  <si>
    <t>사업 총괄·발주처 협의</t>
  </si>
  <si>
    <t>인/개월</t>
  </si>
  <si>
    <t>운영 부총괄</t>
  </si>
  <si>
    <t>일정·품질·주간보고</t>
  </si>
  <si>
    <t>강사</t>
  </si>
  <si>
    <t>강사 양성 공통 128h + 심화 32h</t>
  </si>
  <si>
    <t>인/시간</t>
  </si>
  <si>
    <t>보조강사·멘토</t>
  </si>
  <si>
    <t>경력 3~5년차</t>
  </si>
  <si>
    <t>숙박·항공 별도</t>
  </si>
  <si>
    <t>스탭</t>
  </si>
  <si>
    <t>일 12시간 이상, 안전요원 포함</t>
  </si>
  <si>
    <t>인/일</t>
  </si>
  <si>
    <t>홍보비</t>
  </si>
  <si>
    <t>홍보물 디자인비</t>
  </si>
  <si>
    <t>시안 1종 + variation 6종</t>
  </si>
  <si>
    <t>식</t>
  </si>
  <si>
    <t>포스터·배너·현수막·명찰</t>
  </si>
  <si>
    <t>온라인 홍보물 제작비</t>
  </si>
  <si>
    <t>카드뉴스 8~10장</t>
  </si>
  <si>
    <t>홍보 진행비</t>
  </si>
  <si>
    <t>온라인 광고(도내·전국)</t>
  </si>
  <si>
    <t>인쇄 제작비</t>
  </si>
  <si>
    <t>현수막</t>
  </si>
  <si>
    <t>360*90cm</t>
  </si>
  <si>
    <t>개</t>
  </si>
  <si>
    <t>권역 순회분 포함</t>
  </si>
  <si>
    <t>포스터</t>
  </si>
  <si>
    <t>A2</t>
  </si>
  <si>
    <t>명찰</t>
  </si>
  <si>
    <t>PVC 카드, 양면</t>
  </si>
  <si>
    <t>임차비</t>
  </si>
  <si>
    <t>행사 장소 대여</t>
  </si>
  <si>
    <t>챌린지 본행사 1일</t>
  </si>
  <si>
    <t>일</t>
  </si>
  <si>
    <t>장소에 따라 변동</t>
  </si>
  <si>
    <t>노트북 대여</t>
  </si>
  <si>
    <t>고사양, 이동형 실습 교실</t>
  </si>
  <si>
    <t>자체 보유분 외 추가 임차</t>
  </si>
  <si>
    <t>식다과비</t>
  </si>
  <si>
    <t>다과비</t>
  </si>
  <si>
    <t>챌린지 본행사</t>
  </si>
  <si>
    <t>식비</t>
  </si>
  <si>
    <t>인/끼</t>
  </si>
  <si>
    <t>운영비</t>
  </si>
  <si>
    <t>VOD 제작·제공</t>
  </si>
  <si>
    <t>대상별 135차시</t>
  </si>
  <si>
    <t>자체 스튜디오 제작</t>
  </si>
  <si>
    <t>사무용품</t>
  </si>
  <si>
    <t>기타운영비</t>
  </si>
  <si>
    <t>LMS·협업도구·화상회의 등</t>
  </si>
  <si>
    <t>참여자 지원비</t>
  </si>
  <si>
    <t>상금: 대상</t>
  </si>
  <si>
    <t>인</t>
  </si>
  <si>
    <t>상금: 최우수상</t>
  </si>
  <si>
    <t>상금: 우수상</t>
  </si>
  <si>
    <t>상금: 장려상</t>
  </si>
  <si>
    <t>소계</t>
  </si>
  <si>
    <t>최종 견적가</t>
  </si>
  <si>
    <t>(vat 포함, 만 단위 이하 절사)</t>
  </si>
  <si>
    <t>기타</t>
  </si>
  <si>
    <t>1. 견적 세부사항은 협의에 의해 변동 가능합니다.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</si>
</sst>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&quot;원&quot;"/>
    <numFmt numFmtId="178" formatCode="_-&quot;₩&quot;* #,##0_-;\-&quot;₩&quot;* #,##0_-;_-&quot;₩&quot;* &quot;-&quot;_-;_-@"/>
    <numFmt numFmtId="179" formatCode="_-* #,##0_-;\-* #,##0_-;_-* &quot;-&quot;_-;_-@"/>
  </numFmts>
  <fonts count="15">
    <font>
      <sz val="10"/>
      <color rgb="FF000000"/>
      <name val="Arial"/>
      <scheme val="minor"/>
    </font>
    <font>
      <sz val="11"/>
      <color theme="1"/>
      <name val="나눔바른고딕"/>
      <family val="3"/>
      <charset val="129"/>
    </font>
    <font>
      <b/>
      <sz val="16"/>
      <color theme="1"/>
      <name val="Nanum Gothic"/>
    </font>
    <font>
      <sz val="11"/>
      <color theme="1"/>
      <name val="Nanum Gothic"/>
    </font>
    <font>
      <b/>
      <sz val="9"/>
      <color rgb="FFFFFFFF"/>
      <name val="Nanum Gothic"/>
    </font>
    <font>
      <sz val="8"/>
      <color theme="1"/>
      <name val="Nanum Gothic"/>
    </font>
    <font>
      <sz val="8"/>
      <color rgb="FF000000"/>
      <name val="Nanum Gothic"/>
    </font>
    <font>
      <b/>
      <sz val="9"/>
      <color theme="1"/>
      <name val="Nanum Gothic"/>
    </font>
    <font>
      <b/>
      <sz val="10"/>
      <color theme="1"/>
      <name val="Nanum Gothic"/>
    </font>
    <font>
      <b/>
      <sz val="8"/>
      <color rgb="FF000000"/>
      <name val="Nanum Gothic"/>
    </font>
    <font>
      <b/>
      <sz val="8"/>
      <color rgb="FFFFFFFF"/>
      <name val="Nanum Gothic"/>
    </font>
    <font>
      <b/>
      <sz val="8"/>
      <color theme="0"/>
      <name val="Nanum Gothic"/>
    </font>
    <font>
      <b/>
      <sz val="8"/>
      <color theme="1"/>
      <name val="Nanum Gothic"/>
    </font>
    <font>
      <sz val="10"/>
      <color theme="1"/>
      <name val="Nanum Gothic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3F3F3F"/>
        <bgColor rgb="FF3F3F3F"/>
      </patternFill>
    </fill>
  </fills>
  <borders count="4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dotted">
        <color rgb="FF3F3F3F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dotted">
        <color rgb="FF3F3F3F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tted">
        <color rgb="FF3F3F3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3F3F3F"/>
      </right>
      <top/>
      <bottom/>
      <diagonal/>
    </border>
    <border>
      <left style="thin">
        <color rgb="FF3F3F3F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rgb="FF3F3F3F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3F3F3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76" fontId="5" fillId="4" borderId="12" xfId="0" applyNumberFormat="1" applyFont="1" applyFill="1" applyBorder="1" applyAlignment="1">
      <alignment vertical="center"/>
    </xf>
    <xf numFmtId="176" fontId="5" fillId="4" borderId="1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179" fontId="9" fillId="3" borderId="15" xfId="0" applyNumberFormat="1" applyFont="1" applyFill="1" applyBorder="1" applyAlignment="1">
      <alignment horizontal="center" vertical="center"/>
    </xf>
    <xf numFmtId="179" fontId="9" fillId="3" borderId="16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79" fontId="6" fillId="0" borderId="18" xfId="0" applyNumberFormat="1" applyFont="1" applyBorder="1" applyAlignment="1">
      <alignment vertical="center"/>
    </xf>
    <xf numFmtId="3" fontId="6" fillId="0" borderId="18" xfId="0" applyNumberFormat="1" applyFont="1" applyBorder="1" applyAlignment="1">
      <alignment horizontal="right" vertical="center"/>
    </xf>
    <xf numFmtId="179" fontId="6" fillId="0" borderId="18" xfId="0" applyNumberFormat="1" applyFont="1" applyBorder="1" applyAlignment="1">
      <alignment horizontal="center" vertical="center"/>
    </xf>
    <xf numFmtId="179" fontId="6" fillId="0" borderId="19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9" fontId="9" fillId="5" borderId="18" xfId="0" applyNumberFormat="1" applyFont="1" applyFill="1" applyBorder="1" applyAlignment="1">
      <alignment horizontal="center" vertical="center"/>
    </xf>
    <xf numFmtId="179" fontId="9" fillId="5" borderId="19" xfId="0" applyNumberFormat="1" applyFont="1" applyFill="1" applyBorder="1" applyAlignment="1">
      <alignment horizontal="center" vertical="center"/>
    </xf>
    <xf numFmtId="179" fontId="11" fillId="6" borderId="24" xfId="0" applyNumberFormat="1" applyFont="1" applyFill="1" applyBorder="1" applyAlignment="1">
      <alignment horizontal="center" vertical="center"/>
    </xf>
    <xf numFmtId="179" fontId="10" fillId="6" borderId="25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left" vertical="center"/>
    </xf>
    <xf numFmtId="0" fontId="12" fillId="3" borderId="30" xfId="0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9" fillId="4" borderId="17" xfId="0" applyFont="1" applyFill="1" applyBorder="1" applyAlignment="1">
      <alignment horizontal="center" vertical="center"/>
    </xf>
    <xf numFmtId="0" fontId="0" fillId="0" borderId="21" xfId="0" applyBorder="1"/>
    <xf numFmtId="0" fontId="6" fillId="0" borderId="37" xfId="0" applyFont="1" applyBorder="1" applyAlignment="1">
      <alignment horizontal="center" vertical="center"/>
    </xf>
    <xf numFmtId="0" fontId="0" fillId="0" borderId="3" xfId="0" applyBorder="1"/>
    <xf numFmtId="0" fontId="7" fillId="3" borderId="43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4" fillId="2" borderId="46" xfId="0" applyFont="1" applyFill="1" applyBorder="1" applyAlignment="1">
      <alignment horizontal="center" vertical="center"/>
    </xf>
    <xf numFmtId="0" fontId="0" fillId="0" borderId="33" xfId="0" applyBorder="1"/>
    <xf numFmtId="0" fontId="4" fillId="2" borderId="39" xfId="0" applyFont="1" applyFill="1" applyBorder="1" applyAlignment="1">
      <alignment horizontal="center" vertical="center"/>
    </xf>
    <xf numFmtId="0" fontId="0" fillId="0" borderId="32" xfId="0" applyBorder="1"/>
    <xf numFmtId="0" fontId="0" fillId="0" borderId="1" xfId="0" applyBorder="1"/>
    <xf numFmtId="0" fontId="5" fillId="0" borderId="26" xfId="0" applyFont="1" applyBorder="1" applyAlignment="1">
      <alignment horizontal="center" vertical="center"/>
    </xf>
    <xf numFmtId="0" fontId="0" fillId="0" borderId="8" xfId="0" applyBorder="1"/>
    <xf numFmtId="0" fontId="5" fillId="0" borderId="41" xfId="0" applyFont="1" applyBorder="1" applyAlignment="1">
      <alignment horizontal="center" vertical="center"/>
    </xf>
    <xf numFmtId="0" fontId="0" fillId="0" borderId="9" xfId="0" applyBorder="1"/>
    <xf numFmtId="0" fontId="5" fillId="0" borderId="42" xfId="0" applyFont="1" applyBorder="1" applyAlignment="1">
      <alignment horizontal="center" vertical="center"/>
    </xf>
    <xf numFmtId="0" fontId="0" fillId="0" borderId="7" xfId="0" applyBorder="1"/>
    <xf numFmtId="177" fontId="8" fillId="4" borderId="6" xfId="0" applyNumberFormat="1" applyFont="1" applyFill="1" applyBorder="1" applyAlignment="1">
      <alignment horizontal="right" vertical="center"/>
    </xf>
    <xf numFmtId="0" fontId="0" fillId="0" borderId="6" xfId="0" applyBorder="1"/>
    <xf numFmtId="0" fontId="5" fillId="4" borderId="45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0" fillId="0" borderId="5" xfId="0" applyBorder="1"/>
    <xf numFmtId="0" fontId="5" fillId="4" borderId="44" xfId="0" applyFont="1" applyFill="1" applyBorder="1" applyAlignment="1">
      <alignment horizontal="left" vertical="center"/>
    </xf>
    <xf numFmtId="178" fontId="8" fillId="4" borderId="9" xfId="0" applyNumberFormat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0" fillId="0" borderId="34" xfId="0" applyBorder="1"/>
    <xf numFmtId="0" fontId="0" fillId="0" borderId="2" xfId="0" applyBorder="1"/>
    <xf numFmtId="0" fontId="0" fillId="0" borderId="4" xfId="0" applyBorder="1"/>
    <xf numFmtId="0" fontId="10" fillId="6" borderId="3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9" fillId="5" borderId="20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447675</xdr:colOff>
      <xdr:row>1</xdr:row>
      <xdr:rowOff>19050</xdr:rowOff>
    </xdr:from>
    <xdr:ext cx="581025" cy="571500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17"/>
  <sheetViews>
    <sheetView showGridLines="0" tabSelected="1" topLeftCell="A15" zoomScale="160" zoomScaleNormal="160" workbookViewId="0">
      <selection activeCell="U25" sqref="U25"/>
    </sheetView>
  </sheetViews>
  <sheetFormatPr defaultColWidth="12.6328125" defaultRowHeight="15.75" customHeight="1"/>
  <cols>
    <col min="1" max="1" width="0.7265625" customWidth="1"/>
    <col min="2" max="2" width="10.6328125" customWidth="1"/>
    <col min="3" max="3" width="15.54296875" bestFit="1" customWidth="1"/>
    <col min="4" max="4" width="24.26953125" customWidth="1"/>
    <col min="5" max="5" width="1" customWidth="1"/>
    <col min="6" max="6" width="7.36328125" customWidth="1"/>
    <col min="7" max="7" width="4.08984375" customWidth="1"/>
    <col min="8" max="8" width="4.453125" customWidth="1"/>
    <col min="9" max="9" width="9.90625" customWidth="1"/>
    <col min="10" max="10" width="12.453125" customWidth="1"/>
    <col min="11" max="11" width="17.6328125" customWidth="1"/>
    <col min="12" max="12" width="1.6328125" customWidth="1"/>
    <col min="13" max="13" width="17.36328125" hidden="1" customWidth="1"/>
    <col min="14" max="14" width="11.453125" hidden="1" customWidth="1"/>
    <col min="15" max="15" width="7.6328125" hidden="1" customWidth="1"/>
    <col min="16" max="28" width="7.6328125" customWidth="1"/>
  </cols>
  <sheetData>
    <row r="1" spans="1:28" ht="17.25" customHeight="1">
      <c r="A1" s="1"/>
      <c r="B1" s="31" t="s">
        <v>0</v>
      </c>
      <c r="C1" s="32"/>
      <c r="D1" s="32"/>
      <c r="E1" s="3"/>
      <c r="F1" s="42" t="s">
        <v>1</v>
      </c>
      <c r="G1" s="43"/>
      <c r="H1" s="43"/>
      <c r="I1" s="44"/>
      <c r="J1" s="40" t="s">
        <v>2</v>
      </c>
      <c r="K1" s="4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7.25" customHeight="1">
      <c r="A2" s="1"/>
      <c r="B2" s="32"/>
      <c r="C2" s="32"/>
      <c r="D2" s="32"/>
      <c r="E2" s="3"/>
      <c r="F2" s="60" t="s">
        <v>3</v>
      </c>
      <c r="G2" s="61"/>
      <c r="H2" s="61"/>
      <c r="I2" s="62"/>
      <c r="J2" s="59" t="s">
        <v>4</v>
      </c>
      <c r="K2" s="36"/>
      <c r="L2" s="1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25" customHeight="1">
      <c r="A3" s="1"/>
      <c r="B3" s="32"/>
      <c r="C3" s="32"/>
      <c r="D3" s="32"/>
      <c r="E3" s="3"/>
      <c r="F3" s="63"/>
      <c r="G3" s="32"/>
      <c r="H3" s="32"/>
      <c r="I3" s="56"/>
      <c r="J3" s="35" t="s">
        <v>5</v>
      </c>
      <c r="K3" s="36"/>
      <c r="L3" s="1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25" customHeight="1">
      <c r="A4" s="1"/>
      <c r="B4" s="32"/>
      <c r="C4" s="32"/>
      <c r="D4" s="32"/>
      <c r="E4" s="3"/>
      <c r="F4" s="63"/>
      <c r="G4" s="32"/>
      <c r="H4" s="32"/>
      <c r="I4" s="56"/>
      <c r="J4" s="35" t="s">
        <v>6</v>
      </c>
      <c r="K4" s="36"/>
      <c r="L4" s="1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7.25" customHeight="1">
      <c r="A5" s="1"/>
      <c r="B5" s="32"/>
      <c r="C5" s="32"/>
      <c r="D5" s="32"/>
      <c r="E5" s="3"/>
      <c r="F5" s="55" t="s">
        <v>7</v>
      </c>
      <c r="G5" s="32"/>
      <c r="H5" s="32"/>
      <c r="I5" s="56"/>
      <c r="J5" s="35" t="s">
        <v>8</v>
      </c>
      <c r="K5" s="36"/>
      <c r="L5" s="1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" customHeight="1">
      <c r="A6" s="1"/>
      <c r="B6" s="32"/>
      <c r="C6" s="32"/>
      <c r="D6" s="32"/>
      <c r="E6" s="3"/>
      <c r="F6" s="49" t="s">
        <v>9</v>
      </c>
      <c r="G6" s="46"/>
      <c r="H6" s="46"/>
      <c r="I6" s="50"/>
      <c r="J6" s="47" t="s">
        <v>10</v>
      </c>
      <c r="K6" s="48"/>
      <c r="L6" s="1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7.5" customHeight="1">
      <c r="A7" s="1"/>
      <c r="B7" s="3"/>
      <c r="C7" s="3"/>
      <c r="D7" s="3"/>
      <c r="E7" s="3"/>
      <c r="F7" s="3"/>
      <c r="G7" s="3"/>
      <c r="H7" s="3"/>
      <c r="I7" s="3"/>
      <c r="J7" s="54"/>
      <c r="K7" s="32"/>
      <c r="L7" s="1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7.25" customHeight="1">
      <c r="A8" s="1"/>
      <c r="B8" s="37" t="s">
        <v>11</v>
      </c>
      <c r="C8" s="38"/>
      <c r="D8" s="39"/>
      <c r="E8" s="3"/>
      <c r="F8" s="37" t="s">
        <v>12</v>
      </c>
      <c r="G8" s="38"/>
      <c r="H8" s="38"/>
      <c r="I8" s="38"/>
      <c r="J8" s="38"/>
      <c r="K8" s="39"/>
      <c r="L8" s="1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7.25" customHeight="1">
      <c r="A9" s="1"/>
      <c r="B9" s="57" t="s">
        <v>13</v>
      </c>
      <c r="C9" s="32"/>
      <c r="D9" s="4"/>
      <c r="E9" s="3"/>
      <c r="F9" s="51">
        <f>J36</f>
        <v>228600000</v>
      </c>
      <c r="G9" s="32"/>
      <c r="H9" s="32"/>
      <c r="I9" s="32"/>
      <c r="J9" s="58" t="s">
        <v>14</v>
      </c>
      <c r="K9" s="36"/>
      <c r="L9" s="1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>
      <c r="A10" s="1"/>
      <c r="B10" s="53" t="s">
        <v>15</v>
      </c>
      <c r="C10" s="46"/>
      <c r="D10" s="5"/>
      <c r="E10" s="3"/>
      <c r="F10" s="52"/>
      <c r="G10" s="46"/>
      <c r="H10" s="46"/>
      <c r="I10" s="46"/>
      <c r="J10" s="46"/>
      <c r="K10" s="48"/>
      <c r="L10" s="1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>
      <c r="A11" s="1"/>
      <c r="B11" s="6"/>
      <c r="C11" s="7"/>
      <c r="D11" s="3"/>
      <c r="E11" s="3"/>
      <c r="F11" s="3"/>
      <c r="G11" s="3"/>
      <c r="H11" s="3"/>
      <c r="I11" s="3"/>
      <c r="J11" s="3"/>
      <c r="K11" s="3"/>
      <c r="L11" s="1"/>
    </row>
    <row r="12" spans="1:28" ht="15" customHeight="1">
      <c r="A12" s="1"/>
      <c r="B12" s="8" t="s">
        <v>16</v>
      </c>
      <c r="C12" s="9" t="s">
        <v>17</v>
      </c>
      <c r="D12" s="9" t="s">
        <v>18</v>
      </c>
      <c r="E12" s="9"/>
      <c r="F12" s="9" t="s">
        <v>19</v>
      </c>
      <c r="G12" s="9" t="s">
        <v>20</v>
      </c>
      <c r="H12" s="9" t="s">
        <v>21</v>
      </c>
      <c r="I12" s="9" t="s">
        <v>22</v>
      </c>
      <c r="J12" s="10" t="s">
        <v>23</v>
      </c>
      <c r="K12" s="11" t="s">
        <v>24</v>
      </c>
      <c r="L12" s="1"/>
    </row>
    <row r="13" spans="1:28" ht="17" customHeight="1">
      <c r="A13" s="1"/>
      <c r="B13" s="33" t="s">
        <v>25</v>
      </c>
      <c r="C13" s="12" t="s">
        <v>26</v>
      </c>
      <c r="D13" s="18" t="s">
        <v>27</v>
      </c>
      <c r="E13" s="13"/>
      <c r="F13" s="14" t="s">
        <v>28</v>
      </c>
      <c r="G13" s="14">
        <v>1</v>
      </c>
      <c r="H13" s="14">
        <v>5</v>
      </c>
      <c r="I13" s="15">
        <v>2000000</v>
      </c>
      <c r="J13" s="16">
        <f t="shared" ref="J13:J34" si="0">G13*H13*I13</f>
        <v>10000000</v>
      </c>
      <c r="K13" s="17"/>
      <c r="L13" s="1"/>
    </row>
    <row r="14" spans="1:28" ht="17" customHeight="1">
      <c r="A14" s="1"/>
      <c r="B14" s="34"/>
      <c r="C14" s="12" t="s">
        <v>29</v>
      </c>
      <c r="D14" s="18" t="s">
        <v>30</v>
      </c>
      <c r="E14" s="13"/>
      <c r="F14" s="14" t="s">
        <v>28</v>
      </c>
      <c r="G14" s="14">
        <v>1</v>
      </c>
      <c r="H14" s="14">
        <v>5</v>
      </c>
      <c r="I14" s="15">
        <v>1500000</v>
      </c>
      <c r="J14" s="16">
        <f t="shared" si="0"/>
        <v>7500000</v>
      </c>
      <c r="K14" s="17"/>
      <c r="L14" s="1"/>
    </row>
    <row r="15" spans="1:28" ht="17" customHeight="1">
      <c r="A15" s="1"/>
      <c r="B15" s="34"/>
      <c r="C15" s="12" t="s">
        <v>31</v>
      </c>
      <c r="D15" s="18" t="s">
        <v>32</v>
      </c>
      <c r="E15" s="13"/>
      <c r="F15" s="14" t="s">
        <v>33</v>
      </c>
      <c r="G15" s="14">
        <v>2</v>
      </c>
      <c r="H15" s="14">
        <v>160</v>
      </c>
      <c r="I15" s="15">
        <v>200000</v>
      </c>
      <c r="J15" s="16">
        <f t="shared" si="0"/>
        <v>64000000</v>
      </c>
      <c r="K15" s="17"/>
      <c r="L15" s="1"/>
    </row>
    <row r="16" spans="1:28" ht="17" customHeight="1">
      <c r="A16" s="1"/>
      <c r="B16" s="34"/>
      <c r="C16" s="12" t="s">
        <v>34</v>
      </c>
      <c r="D16" s="18" t="s">
        <v>35</v>
      </c>
      <c r="E16" s="13"/>
      <c r="F16" s="14" t="s">
        <v>33</v>
      </c>
      <c r="G16" s="14">
        <v>4</v>
      </c>
      <c r="H16" s="14">
        <v>160</v>
      </c>
      <c r="I16" s="15">
        <v>100000</v>
      </c>
      <c r="J16" s="16">
        <f t="shared" si="0"/>
        <v>64000000</v>
      </c>
      <c r="K16" s="17" t="s">
        <v>36</v>
      </c>
      <c r="L16" s="1"/>
    </row>
    <row r="17" spans="1:12" ht="17" customHeight="1">
      <c r="A17" s="1"/>
      <c r="B17" s="34"/>
      <c r="C17" s="12" t="s">
        <v>37</v>
      </c>
      <c r="D17" s="18" t="s">
        <v>38</v>
      </c>
      <c r="E17" s="13"/>
      <c r="F17" s="14" t="s">
        <v>39</v>
      </c>
      <c r="G17" s="14">
        <v>4</v>
      </c>
      <c r="H17" s="14">
        <v>30</v>
      </c>
      <c r="I17" s="15">
        <v>150000</v>
      </c>
      <c r="J17" s="16">
        <f t="shared" si="0"/>
        <v>18000000</v>
      </c>
      <c r="K17" s="17"/>
      <c r="L17" s="1"/>
    </row>
    <row r="18" spans="1:12" ht="17" customHeight="1">
      <c r="A18" s="1"/>
      <c r="B18" s="33" t="s">
        <v>40</v>
      </c>
      <c r="C18" s="12" t="s">
        <v>41</v>
      </c>
      <c r="D18" s="18" t="s">
        <v>42</v>
      </c>
      <c r="E18" s="13"/>
      <c r="F18" s="14" t="s">
        <v>43</v>
      </c>
      <c r="G18" s="14">
        <v>1</v>
      </c>
      <c r="H18" s="14">
        <v>1</v>
      </c>
      <c r="I18" s="15">
        <v>1000000</v>
      </c>
      <c r="J18" s="16">
        <f t="shared" si="0"/>
        <v>1000000</v>
      </c>
      <c r="K18" s="17" t="s">
        <v>44</v>
      </c>
      <c r="L18" s="1"/>
    </row>
    <row r="19" spans="1:12" ht="17" customHeight="1">
      <c r="A19" s="1"/>
      <c r="B19" s="34"/>
      <c r="C19" s="12" t="s">
        <v>45</v>
      </c>
      <c r="D19" s="18" t="s">
        <v>46</v>
      </c>
      <c r="E19" s="13"/>
      <c r="F19" s="14" t="s">
        <v>43</v>
      </c>
      <c r="G19" s="14">
        <v>1</v>
      </c>
      <c r="H19" s="14">
        <v>6</v>
      </c>
      <c r="I19" s="15">
        <v>200000</v>
      </c>
      <c r="J19" s="16">
        <f t="shared" si="0"/>
        <v>1200000</v>
      </c>
      <c r="K19" s="17"/>
      <c r="L19" s="1"/>
    </row>
    <row r="20" spans="1:12" ht="17" customHeight="1">
      <c r="A20" s="1"/>
      <c r="B20" s="34"/>
      <c r="C20" s="12" t="s">
        <v>47</v>
      </c>
      <c r="D20" s="18" t="s">
        <v>48</v>
      </c>
      <c r="E20" s="13"/>
      <c r="F20" s="14" t="s">
        <v>43</v>
      </c>
      <c r="G20" s="14">
        <v>1</v>
      </c>
      <c r="H20" s="14">
        <v>1</v>
      </c>
      <c r="I20" s="15">
        <v>2400000</v>
      </c>
      <c r="J20" s="16">
        <f t="shared" si="0"/>
        <v>2400000</v>
      </c>
      <c r="K20" s="17"/>
      <c r="L20" s="1"/>
    </row>
    <row r="21" spans="1:12" ht="17" customHeight="1">
      <c r="A21" s="1"/>
      <c r="B21" s="33" t="s">
        <v>49</v>
      </c>
      <c r="C21" s="12" t="s">
        <v>50</v>
      </c>
      <c r="D21" s="18" t="s">
        <v>51</v>
      </c>
      <c r="E21" s="13"/>
      <c r="F21" s="14" t="s">
        <v>52</v>
      </c>
      <c r="G21" s="14">
        <v>1</v>
      </c>
      <c r="H21" s="14">
        <v>12</v>
      </c>
      <c r="I21" s="15">
        <v>60000</v>
      </c>
      <c r="J21" s="16">
        <f t="shared" si="0"/>
        <v>720000</v>
      </c>
      <c r="K21" s="17" t="s">
        <v>53</v>
      </c>
      <c r="L21" s="1"/>
    </row>
    <row r="22" spans="1:12" ht="17" customHeight="1">
      <c r="A22" s="1"/>
      <c r="B22" s="34"/>
      <c r="C22" s="12" t="s">
        <v>54</v>
      </c>
      <c r="D22" s="18" t="s">
        <v>55</v>
      </c>
      <c r="E22" s="13"/>
      <c r="F22" s="14" t="s">
        <v>52</v>
      </c>
      <c r="G22" s="14">
        <v>300</v>
      </c>
      <c r="H22" s="14">
        <v>1</v>
      </c>
      <c r="I22" s="15">
        <v>3000</v>
      </c>
      <c r="J22" s="16">
        <f t="shared" si="0"/>
        <v>900000</v>
      </c>
      <c r="K22" s="17"/>
      <c r="L22" s="1"/>
    </row>
    <row r="23" spans="1:12" ht="17" customHeight="1">
      <c r="A23" s="1"/>
      <c r="B23" s="34"/>
      <c r="C23" s="12" t="s">
        <v>56</v>
      </c>
      <c r="D23" s="18" t="s">
        <v>57</v>
      </c>
      <c r="E23" s="13"/>
      <c r="F23" s="14" t="s">
        <v>52</v>
      </c>
      <c r="G23" s="14">
        <v>300</v>
      </c>
      <c r="H23" s="14">
        <v>1</v>
      </c>
      <c r="I23" s="15">
        <v>3000</v>
      </c>
      <c r="J23" s="16">
        <f t="shared" si="0"/>
        <v>900000</v>
      </c>
      <c r="K23" s="17"/>
      <c r="L23" s="1"/>
    </row>
    <row r="24" spans="1:12" ht="17" customHeight="1">
      <c r="A24" s="1"/>
      <c r="B24" s="33" t="s">
        <v>58</v>
      </c>
      <c r="C24" s="12" t="s">
        <v>59</v>
      </c>
      <c r="D24" s="18" t="s">
        <v>60</v>
      </c>
      <c r="E24" s="13"/>
      <c r="F24" s="14" t="s">
        <v>61</v>
      </c>
      <c r="G24" s="14">
        <v>1</v>
      </c>
      <c r="H24" s="14">
        <v>1</v>
      </c>
      <c r="I24" s="15">
        <v>1000000</v>
      </c>
      <c r="J24" s="16">
        <f t="shared" si="0"/>
        <v>1000000</v>
      </c>
      <c r="K24" s="17" t="s">
        <v>62</v>
      </c>
      <c r="L24" s="1"/>
    </row>
    <row r="25" spans="1:12" ht="17" customHeight="1">
      <c r="A25" s="1"/>
      <c r="B25" s="34"/>
      <c r="C25" s="12" t="s">
        <v>63</v>
      </c>
      <c r="D25" s="18" t="s">
        <v>64</v>
      </c>
      <c r="E25" s="13"/>
      <c r="F25" s="14" t="s">
        <v>52</v>
      </c>
      <c r="G25" s="14">
        <v>60</v>
      </c>
      <c r="H25" s="14">
        <v>6</v>
      </c>
      <c r="I25" s="15">
        <v>35000</v>
      </c>
      <c r="J25" s="16">
        <f t="shared" si="0"/>
        <v>12600000</v>
      </c>
      <c r="K25" s="17" t="s">
        <v>65</v>
      </c>
      <c r="L25" s="1"/>
    </row>
    <row r="26" spans="1:12" ht="17" customHeight="1">
      <c r="A26" s="1"/>
      <c r="B26" s="33" t="s">
        <v>66</v>
      </c>
      <c r="C26" s="12" t="s">
        <v>67</v>
      </c>
      <c r="D26" s="18" t="s">
        <v>68</v>
      </c>
      <c r="E26" s="13"/>
      <c r="F26" s="14" t="s">
        <v>39</v>
      </c>
      <c r="G26" s="14">
        <v>300</v>
      </c>
      <c r="H26" s="14">
        <v>1</v>
      </c>
      <c r="I26" s="15">
        <v>13000</v>
      </c>
      <c r="J26" s="16">
        <f t="shared" si="0"/>
        <v>3900000</v>
      </c>
      <c r="K26" s="17"/>
      <c r="L26" s="1"/>
    </row>
    <row r="27" spans="1:12" ht="17" customHeight="1">
      <c r="A27" s="1"/>
      <c r="B27" s="34"/>
      <c r="C27" s="12" t="s">
        <v>69</v>
      </c>
      <c r="D27" s="18" t="s">
        <v>68</v>
      </c>
      <c r="E27" s="13"/>
      <c r="F27" s="14" t="s">
        <v>70</v>
      </c>
      <c r="G27" s="14">
        <v>300</v>
      </c>
      <c r="H27" s="14">
        <v>1</v>
      </c>
      <c r="I27" s="15">
        <v>25000</v>
      </c>
      <c r="J27" s="16">
        <f t="shared" si="0"/>
        <v>7500000</v>
      </c>
      <c r="K27" s="17"/>
      <c r="L27" s="1"/>
    </row>
    <row r="28" spans="1:12" ht="17" customHeight="1">
      <c r="A28" s="1"/>
      <c r="B28" s="33" t="s">
        <v>71</v>
      </c>
      <c r="C28" s="12" t="s">
        <v>72</v>
      </c>
      <c r="D28" s="18" t="s">
        <v>73</v>
      </c>
      <c r="E28" s="13"/>
      <c r="F28" s="14" t="s">
        <v>43</v>
      </c>
      <c r="G28" s="14">
        <v>135</v>
      </c>
      <c r="H28" s="14">
        <v>1</v>
      </c>
      <c r="I28" s="15">
        <v>30000</v>
      </c>
      <c r="J28" s="16">
        <f t="shared" si="0"/>
        <v>4050000</v>
      </c>
      <c r="K28" s="17" t="s">
        <v>74</v>
      </c>
      <c r="L28" s="1"/>
    </row>
    <row r="29" spans="1:12" ht="17" customHeight="1">
      <c r="A29" s="1"/>
      <c r="B29" s="34"/>
      <c r="C29" s="12" t="s">
        <v>75</v>
      </c>
      <c r="D29" s="12"/>
      <c r="E29" s="13"/>
      <c r="F29" s="14" t="s">
        <v>43</v>
      </c>
      <c r="G29" s="14">
        <v>1</v>
      </c>
      <c r="H29" s="14">
        <v>1</v>
      </c>
      <c r="I29" s="15">
        <v>200000</v>
      </c>
      <c r="J29" s="16">
        <f t="shared" si="0"/>
        <v>200000</v>
      </c>
      <c r="K29" s="17"/>
      <c r="L29" s="1"/>
    </row>
    <row r="30" spans="1:12" ht="17" customHeight="1">
      <c r="A30" s="1"/>
      <c r="B30" s="34"/>
      <c r="C30" s="12" t="s">
        <v>76</v>
      </c>
      <c r="D30" s="18" t="s">
        <v>77</v>
      </c>
      <c r="E30" s="13"/>
      <c r="F30" s="14" t="s">
        <v>43</v>
      </c>
      <c r="G30" s="14">
        <v>1</v>
      </c>
      <c r="H30" s="14">
        <v>1</v>
      </c>
      <c r="I30" s="15">
        <v>1000000</v>
      </c>
      <c r="J30" s="16">
        <f t="shared" si="0"/>
        <v>1000000</v>
      </c>
      <c r="K30" s="17"/>
      <c r="L30" s="1"/>
    </row>
    <row r="31" spans="1:12" ht="17" customHeight="1">
      <c r="A31" s="1"/>
      <c r="B31" s="33" t="s">
        <v>78</v>
      </c>
      <c r="C31" s="12" t="s">
        <v>79</v>
      </c>
      <c r="D31" s="12"/>
      <c r="E31" s="13"/>
      <c r="F31" s="14" t="s">
        <v>80</v>
      </c>
      <c r="G31" s="14">
        <v>1</v>
      </c>
      <c r="H31" s="14">
        <v>1</v>
      </c>
      <c r="I31" s="15">
        <v>2000000</v>
      </c>
      <c r="J31" s="16">
        <f t="shared" si="0"/>
        <v>2000000</v>
      </c>
      <c r="K31" s="17"/>
      <c r="L31" s="1"/>
    </row>
    <row r="32" spans="1:12" ht="17" customHeight="1">
      <c r="A32" s="1"/>
      <c r="B32" s="34"/>
      <c r="C32" s="12" t="s">
        <v>81</v>
      </c>
      <c r="D32" s="12"/>
      <c r="E32" s="13"/>
      <c r="F32" s="14" t="s">
        <v>80</v>
      </c>
      <c r="G32" s="14">
        <v>2</v>
      </c>
      <c r="H32" s="14">
        <v>1</v>
      </c>
      <c r="I32" s="15">
        <v>1000000</v>
      </c>
      <c r="J32" s="16">
        <f t="shared" si="0"/>
        <v>2000000</v>
      </c>
      <c r="K32" s="17"/>
      <c r="L32" s="1"/>
    </row>
    <row r="33" spans="1:12" ht="17" customHeight="1">
      <c r="A33" s="1"/>
      <c r="B33" s="34"/>
      <c r="C33" s="12" t="s">
        <v>82</v>
      </c>
      <c r="D33" s="12"/>
      <c r="E33" s="13"/>
      <c r="F33" s="14" t="s">
        <v>80</v>
      </c>
      <c r="G33" s="14">
        <v>4</v>
      </c>
      <c r="H33" s="14">
        <v>1</v>
      </c>
      <c r="I33" s="15">
        <v>500000</v>
      </c>
      <c r="J33" s="16">
        <f t="shared" si="0"/>
        <v>2000000</v>
      </c>
      <c r="K33" s="17"/>
      <c r="L33" s="1"/>
    </row>
    <row r="34" spans="1:12" ht="17" customHeight="1">
      <c r="A34" s="1"/>
      <c r="B34" s="34"/>
      <c r="C34" s="12" t="s">
        <v>83</v>
      </c>
      <c r="D34" s="12"/>
      <c r="E34" s="13"/>
      <c r="F34" s="14" t="s">
        <v>80</v>
      </c>
      <c r="G34" s="14">
        <v>10</v>
      </c>
      <c r="H34" s="14">
        <v>1</v>
      </c>
      <c r="I34" s="15">
        <v>100000</v>
      </c>
      <c r="J34" s="16">
        <f t="shared" si="0"/>
        <v>1000000</v>
      </c>
      <c r="K34" s="17"/>
      <c r="L34" s="1"/>
    </row>
    <row r="35" spans="1:12" ht="16.5" customHeight="1">
      <c r="A35" s="1"/>
      <c r="B35" s="67" t="s">
        <v>84</v>
      </c>
      <c r="C35" s="68"/>
      <c r="D35" s="68"/>
      <c r="E35" s="68"/>
      <c r="F35" s="68"/>
      <c r="G35" s="68"/>
      <c r="H35" s="68"/>
      <c r="I35" s="69"/>
      <c r="J35" s="19">
        <f>SUM(J13:J34)</f>
        <v>207870000</v>
      </c>
      <c r="K35" s="20"/>
      <c r="L35" s="1"/>
    </row>
    <row r="36" spans="1:12" ht="22.5" customHeight="1">
      <c r="A36" s="1"/>
      <c r="B36" s="64" t="s">
        <v>85</v>
      </c>
      <c r="C36" s="65"/>
      <c r="D36" s="65"/>
      <c r="E36" s="65"/>
      <c r="F36" s="65"/>
      <c r="G36" s="65"/>
      <c r="H36" s="65"/>
      <c r="I36" s="66"/>
      <c r="J36" s="21">
        <f>ROUNDDOWN(J35+(J35*10%),-5)</f>
        <v>228600000</v>
      </c>
      <c r="K36" s="22" t="s">
        <v>86</v>
      </c>
      <c r="L36" s="1"/>
    </row>
    <row r="37" spans="1:12" ht="4.5" customHeight="1">
      <c r="A37" s="1"/>
      <c r="B37" s="45"/>
      <c r="C37" s="46"/>
      <c r="D37" s="46"/>
      <c r="E37" s="46"/>
      <c r="F37" s="46"/>
      <c r="G37" s="46"/>
      <c r="H37" s="46"/>
      <c r="I37" s="46"/>
      <c r="J37" s="46"/>
      <c r="K37" s="23"/>
      <c r="L37" s="1"/>
    </row>
    <row r="38" spans="1:12" ht="15" customHeight="1">
      <c r="A38" s="1"/>
      <c r="B38" s="24" t="s">
        <v>87</v>
      </c>
      <c r="C38" s="25"/>
      <c r="D38" s="25"/>
      <c r="E38" s="25"/>
      <c r="F38" s="25"/>
      <c r="G38" s="25"/>
      <c r="H38" s="25"/>
      <c r="I38" s="25"/>
      <c r="J38" s="25"/>
      <c r="K38" s="26"/>
      <c r="L38" s="1"/>
    </row>
    <row r="39" spans="1:12" ht="13.5" customHeight="1">
      <c r="A39" s="1"/>
      <c r="B39" s="27" t="s">
        <v>88</v>
      </c>
      <c r="C39" s="28"/>
      <c r="D39" s="28"/>
      <c r="E39" s="28"/>
      <c r="F39" s="28"/>
      <c r="G39" s="28"/>
      <c r="H39" s="28"/>
      <c r="I39" s="28"/>
      <c r="J39" s="28"/>
      <c r="K39" s="29"/>
      <c r="L39" s="1"/>
    </row>
    <row r="40" spans="1:12" ht="15">
      <c r="A40" s="1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1"/>
    </row>
    <row r="41" spans="1:12" ht="15">
      <c r="A41" s="1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1"/>
    </row>
    <row r="42" spans="1:12" ht="15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1"/>
    </row>
    <row r="43" spans="1:12" ht="15">
      <c r="A43" s="1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1"/>
    </row>
    <row r="44" spans="1:12" ht="15">
      <c r="A44" s="1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1"/>
    </row>
    <row r="45" spans="1:12" ht="15">
      <c r="A45" s="1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1"/>
    </row>
    <row r="46" spans="1:12" ht="15">
      <c r="A46" s="1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1"/>
    </row>
    <row r="47" spans="1:12" ht="15">
      <c r="A47" s="1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1"/>
    </row>
    <row r="48" spans="1:12" ht="15">
      <c r="A48" s="1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1"/>
    </row>
    <row r="49" spans="1:28" ht="15">
      <c r="A49" s="1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1"/>
    </row>
    <row r="50" spans="1:28" ht="15">
      <c r="A50" s="1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1"/>
    </row>
    <row r="51" spans="1:28" ht="15">
      <c r="A51" s="1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1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>
      <c r="A52" s="1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1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>
      <c r="A53" s="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1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>
      <c r="A54" s="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1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>
      <c r="A55" s="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1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>
      <c r="A56" s="1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1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>
      <c r="A57" s="1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1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>
      <c r="A58" s="1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1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>
      <c r="A59" s="1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1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>
      <c r="A60" s="1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1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>
      <c r="A61" s="1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1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>
      <c r="A62" s="1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1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>
      <c r="A63" s="1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1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>
      <c r="A64" s="1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1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>
      <c r="A65" s="1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1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>
      <c r="A66" s="1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1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>
      <c r="A67" s="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1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>
      <c r="A68" s="1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1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>
      <c r="A69" s="1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1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>
      <c r="A70" s="1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1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>
      <c r="A71" s="1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1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>
      <c r="A72" s="1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1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>
      <c r="A73" s="1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1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>
      <c r="A74" s="1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1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>
      <c r="A75" s="1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1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>
      <c r="A76" s="1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1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>
      <c r="A77" s="1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1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>
      <c r="A78" s="1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1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>
      <c r="A79" s="1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1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>
      <c r="A80" s="1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1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>
      <c r="A81" s="1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1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>
      <c r="A82" s="1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1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>
      <c r="A83" s="1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1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>
      <c r="A84" s="1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1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1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1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1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1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1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1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1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1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1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1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1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1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1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1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1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1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1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1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1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1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1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1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1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1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1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1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1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1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1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1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1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1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1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1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1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1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1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1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1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1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1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1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1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1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1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1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1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1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1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1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1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1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1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1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1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1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1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1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1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1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1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1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1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1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1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1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1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1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1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1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1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1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1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1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1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1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1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1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1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1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1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1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1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1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1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1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1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1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1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1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1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1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1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1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1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1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1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1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1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1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1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1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1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1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1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1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1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1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1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1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1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1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1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1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1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1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1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1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1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1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1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1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1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1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1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1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1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1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1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1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1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1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1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1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1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1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1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1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1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1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1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1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1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1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1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1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1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1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1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1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1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1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1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1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1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1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1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1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1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1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1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1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1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1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1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1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1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1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1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1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1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1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1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1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1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1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1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1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1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1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1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1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1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1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1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1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1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1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1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1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1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1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1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1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1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1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1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1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1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1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1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1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1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1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1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1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1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1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1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1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1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1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1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1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1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1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1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1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1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1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1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1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1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1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1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1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1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1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1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1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1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1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1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1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1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1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1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1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1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1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1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1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1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1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1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1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1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1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1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1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1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1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1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1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1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1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1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1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1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1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1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1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1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1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1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1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1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1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1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1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1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1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1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1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1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1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1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1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1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1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1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1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1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1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1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1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1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1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1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1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1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1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1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1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1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1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1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1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1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1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1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1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1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1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1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1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1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1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1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1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1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1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1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1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1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1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1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1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1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1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1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1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1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1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1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1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1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1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1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1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1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1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1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1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1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1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1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1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1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1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1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1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1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1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1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1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1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1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1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1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1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1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1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1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1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1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1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1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1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1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1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1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1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1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1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1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1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1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1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1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1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1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1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1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1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1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1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1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1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1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1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1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1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1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1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1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1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1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1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1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1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1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1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1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1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1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1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1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1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1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1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1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1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1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1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1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1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1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1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1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1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1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1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1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1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1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1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1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1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1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1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1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1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1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1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1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1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1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1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1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1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1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1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1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1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1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1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1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1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1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1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1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1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1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1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1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1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1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1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1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1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1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1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1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1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1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1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1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1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1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1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1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1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1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1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1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1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1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1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1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1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1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1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1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1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1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1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1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1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1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1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1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1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1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1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1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1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1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1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1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1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1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1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1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1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1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1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1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1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1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1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1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1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1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1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1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1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1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1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1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1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1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1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1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1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1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1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1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1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1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1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1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1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1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1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1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1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1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1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1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1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1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1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1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1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1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1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1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1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1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1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1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1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1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1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1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1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1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1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1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1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1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1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1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1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1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1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1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1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1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1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1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1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1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1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1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1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1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1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1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1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1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1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1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1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1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1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1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1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1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1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1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1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1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1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1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1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1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1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1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1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1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1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1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1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1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1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1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1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1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1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1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1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1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1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1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1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1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1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1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1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1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1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1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1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1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1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1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1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1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1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1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1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1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1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1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1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1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1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1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1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1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1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1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1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1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1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1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1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1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1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1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1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1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1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1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1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1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1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1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1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1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1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1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1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1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1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1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1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1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1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1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1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1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1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1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1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1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1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1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1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1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1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1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1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1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1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1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1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1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1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1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1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1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1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1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1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1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1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1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1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1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1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1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1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1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1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1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1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1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1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1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1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1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1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1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1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1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1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1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1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1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1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1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1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1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1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1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1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1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1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1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1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1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1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1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1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1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1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1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1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1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1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1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1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1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1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1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1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1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1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1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1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1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1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1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1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1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1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1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1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1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1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1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1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1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1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1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1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1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1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1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1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1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1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1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1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1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1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1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1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1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1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1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1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1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1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1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1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1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1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1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1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1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1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1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1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1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1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1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1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1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1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1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1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1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1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1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1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1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1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1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1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1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1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1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1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1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1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1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1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1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1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1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1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1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1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1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1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1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1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1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1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1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1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1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1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1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1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1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1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1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1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1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1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1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1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1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1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1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1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1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1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1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1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1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1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1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1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1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1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1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1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1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1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1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1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1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1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1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1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1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1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1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1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1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1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1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1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1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1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1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1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1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1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1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1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1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1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1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1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1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1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1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1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1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1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1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1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1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1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1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1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1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1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1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1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1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1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1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1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1"/>
      <c r="M1001" s="2"/>
      <c r="N1001" s="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1"/>
      <c r="M1002" s="2"/>
      <c r="N1002" s="2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1"/>
      <c r="M1003" s="2"/>
      <c r="N1003" s="2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1"/>
      <c r="M1004" s="2"/>
      <c r="N1004" s="2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1"/>
      <c r="M1005" s="2"/>
      <c r="N1005" s="2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1"/>
      <c r="M1006" s="2"/>
      <c r="N1006" s="2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1"/>
      <c r="M1007" s="2"/>
      <c r="N1007" s="2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1"/>
      <c r="M1008" s="2"/>
      <c r="N1008" s="2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1"/>
      <c r="M1009" s="2"/>
      <c r="N1009" s="2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1"/>
      <c r="M1010" s="2"/>
      <c r="N1010" s="2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1"/>
      <c r="M1011" s="2"/>
      <c r="N1011" s="2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1"/>
      <c r="M1012" s="2"/>
      <c r="N1012" s="2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1"/>
      <c r="M1013" s="2"/>
      <c r="N1013" s="2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1"/>
      <c r="M1014" s="2"/>
      <c r="N1014" s="2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1"/>
      <c r="M1015" s="2"/>
      <c r="N1015" s="2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1"/>
      <c r="M1016" s="2"/>
      <c r="N1016" s="2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1"/>
      <c r="M1017" s="2"/>
      <c r="N1017" s="2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</sheetData>
  <mergeCells count="28">
    <mergeCell ref="B35:I35"/>
    <mergeCell ref="B37:J37"/>
    <mergeCell ref="J6:K6"/>
    <mergeCell ref="B24:B25"/>
    <mergeCell ref="F6:I6"/>
    <mergeCell ref="J4:K4"/>
    <mergeCell ref="F9:I10"/>
    <mergeCell ref="B10:C10"/>
    <mergeCell ref="J7:K7"/>
    <mergeCell ref="B21:B23"/>
    <mergeCell ref="F5:I5"/>
    <mergeCell ref="B9:C9"/>
    <mergeCell ref="B18:B20"/>
    <mergeCell ref="J9:K10"/>
    <mergeCell ref="F2:I4"/>
    <mergeCell ref="B13:B17"/>
    <mergeCell ref="B36:I36"/>
    <mergeCell ref="B1:D6"/>
    <mergeCell ref="B31:B34"/>
    <mergeCell ref="J5:K5"/>
    <mergeCell ref="B8:D8"/>
    <mergeCell ref="J1:K1"/>
    <mergeCell ref="F8:K8"/>
    <mergeCell ref="F1:I1"/>
    <mergeCell ref="J3:K3"/>
    <mergeCell ref="J2:K2"/>
    <mergeCell ref="B26:B27"/>
    <mergeCell ref="B28:B30"/>
  </mergeCells>
  <phoneticPr fontId="14" type="noConversion"/>
  <pageMargins left="0.7" right="0.7" top="0.75" bottom="0.75" header="0" footer="0"/>
  <pageSetup paperSize="9" scale="8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hojun lee</cp:lastModifiedBy>
  <cp:lastPrinted>2026-08-16T11:25:40Z</cp:lastPrinted>
  <dcterms:created xsi:type="dcterms:W3CDTF">2026-07-21T06:24:11Z</dcterms:created>
  <dcterms:modified xsi:type="dcterms:W3CDTF">2026-08-16T11:25:45Z</dcterms:modified>
</cp:coreProperties>
</file>